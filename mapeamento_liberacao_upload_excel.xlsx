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Upload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'Mapa Upload'!$A$1:$T$200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AF7"/>
      </left>
      <right style="thin">
        <color rgb="00D9EAF7"/>
      </right>
      <top style="thin">
        <color rgb="00D9EAF7"/>
      </top>
      <bottom style="thin">
        <color rgb="00D9EAF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18" customWidth="1" min="5" max="5"/>
    <col width="16" customWidth="1" min="6" max="6"/>
    <col width="10" customWidth="1" min="7" max="7"/>
    <col width="12" customWidth="1" min="8" max="8"/>
    <col width="15" customWidth="1" min="9" max="9"/>
    <col width="15" customWidth="1" min="10" max="10"/>
    <col width="24" customWidth="1" min="11" max="11"/>
    <col width="22" customWidth="1" min="12" max="12"/>
    <col width="18" customWidth="1" min="13" max="13"/>
    <col width="28" customWidth="1" min="14" max="14"/>
    <col width="32" customWidth="1" min="15" max="15"/>
    <col width="14" customWidth="1" min="16" max="16"/>
    <col width="12" customWidth="1" min="17" max="17"/>
    <col width="28" customWidth="1" min="18" max="18"/>
    <col width="36" customWidth="1" min="19" max="19"/>
    <col width="12" customWidth="1" min="20" max="20"/>
  </cols>
  <sheetData>
    <row r="1">
      <c r="A1" s="1" t="inlineStr">
        <is>
          <t>id_item</t>
        </is>
      </c>
      <c r="B1" s="1" t="inlineStr">
        <is>
          <t>item_pai</t>
        </is>
      </c>
      <c r="C1" s="1" t="inlineStr">
        <is>
          <t>codigo_origem</t>
        </is>
      </c>
      <c r="D1" s="1" t="inlineStr">
        <is>
          <t>descricao_item</t>
        </is>
      </c>
      <c r="E1" s="1" t="inlineStr">
        <is>
          <t>disciplina</t>
        </is>
      </c>
      <c r="F1" s="1" t="inlineStr">
        <is>
          <t>categoria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preco_unitario</t>
        </is>
      </c>
      <c r="J1" s="1" t="inlineStr">
        <is>
          <t>valor_total</t>
        </is>
      </c>
      <c r="K1" s="1" t="inlineStr">
        <is>
          <t>fornecedor_responsavel</t>
        </is>
      </c>
      <c r="L1" s="1" t="inlineStr">
        <is>
          <t>responsavel_interno</t>
        </is>
      </c>
      <c r="M1" s="1" t="inlineStr">
        <is>
          <t>status_liberacao</t>
        </is>
      </c>
      <c r="N1" s="1" t="inlineStr">
        <is>
          <t>bloqueio</t>
        </is>
      </c>
      <c r="O1" s="1" t="inlineStr">
        <is>
          <t>acao_para_liberar</t>
        </is>
      </c>
      <c r="P1" s="1" t="inlineStr">
        <is>
          <t>data_limite</t>
        </is>
      </c>
      <c r="Q1" s="1" t="inlineStr">
        <is>
          <t>prioridade</t>
        </is>
      </c>
      <c r="R1" s="1" t="inlineStr">
        <is>
          <t>documento_referencia</t>
        </is>
      </c>
      <c r="S1" s="1" t="inlineStr">
        <is>
          <t>observacao</t>
        </is>
      </c>
      <c r="T1" s="1" t="inlineStr">
        <is>
          <t>apto_upload</t>
        </is>
      </c>
    </row>
    <row r="2">
      <c r="A2" s="2" t="inlineStr">
        <is>
          <t>OBR-001</t>
        </is>
      </c>
      <c r="B2" s="2" t="inlineStr"/>
      <c r="C2" s="2" t="inlineStr">
        <is>
          <t>COD-001</t>
        </is>
      </c>
      <c r="D2" s="2" t="inlineStr">
        <is>
          <t>Descrição do item</t>
        </is>
      </c>
      <c r="E2" s="2" t="inlineStr">
        <is>
          <t>Arquitetura</t>
        </is>
      </c>
      <c r="F2" s="2" t="inlineStr">
        <is>
          <t>Serviço</t>
        </is>
      </c>
      <c r="G2" s="2" t="inlineStr">
        <is>
          <t>un</t>
        </is>
      </c>
      <c r="H2" s="2" t="n">
        <v>1</v>
      </c>
      <c r="I2" s="2" t="n">
        <v>0</v>
      </c>
      <c r="J2" s="3">
        <f>H2*I2</f>
        <v/>
      </c>
      <c r="K2" s="2" t="inlineStr">
        <is>
          <t>Fornecedor X</t>
        </is>
      </c>
      <c r="L2" s="2" t="inlineStr">
        <is>
          <t>Nome</t>
        </is>
      </c>
      <c r="M2" s="2" t="inlineStr">
        <is>
          <t>Pendente</t>
        </is>
      </c>
      <c r="N2" s="2" t="inlineStr">
        <is>
          <t>Falta aprovação</t>
        </is>
      </c>
      <c r="O2" s="2" t="inlineStr">
        <is>
          <t>Validar documento</t>
        </is>
      </c>
      <c r="P2" s="2" t="inlineStr">
        <is>
          <t>30/04/2026</t>
        </is>
      </c>
      <c r="Q2" s="2" t="inlineStr">
        <is>
          <t>Alta</t>
        </is>
      </c>
      <c r="R2" s="2" t="inlineStr">
        <is>
          <t>Proposta/Planilha/Projeto</t>
        </is>
      </c>
      <c r="S2" s="2" t="inlineStr"/>
      <c r="T2" s="3">
        <f>IF(AND(M2="Liberado",D2&lt;&gt;"",G2&lt;&gt;"",H2&gt;0),"SIM","NÃO")</f>
        <v/>
      </c>
    </row>
    <row r="3">
      <c r="A3" s="2" t="inlineStr">
        <is>
          <t>OBR-002</t>
        </is>
      </c>
      <c r="B3" s="2" t="inlineStr">
        <is>
          <t>OBR-001</t>
        </is>
      </c>
      <c r="C3" s="2" t="inlineStr">
        <is>
          <t>COD-002</t>
        </is>
      </c>
      <c r="D3" s="2" t="inlineStr">
        <is>
          <t>Subitem vinculado</t>
        </is>
      </c>
      <c r="E3" s="2" t="inlineStr">
        <is>
          <t>Instalações</t>
        </is>
      </c>
      <c r="F3" s="2" t="inlineStr">
        <is>
          <t>Material</t>
        </is>
      </c>
      <c r="G3" s="2" t="inlineStr">
        <is>
          <t>m</t>
        </is>
      </c>
      <c r="H3" s="2" t="n">
        <v>10</v>
      </c>
      <c r="I3" s="2" t="n">
        <v>0</v>
      </c>
      <c r="J3" s="3">
        <f>H3*I3</f>
        <v/>
      </c>
      <c r="K3" s="2" t="inlineStr"/>
      <c r="L3" s="2" t="inlineStr">
        <is>
          <t>Nome</t>
        </is>
      </c>
      <c r="M3" s="2" t="inlineStr">
        <is>
          <t>Em análise</t>
        </is>
      </c>
      <c r="N3" s="2" t="inlineStr"/>
      <c r="O3" s="2" t="inlineStr"/>
      <c r="P3" s="2" t="inlineStr"/>
      <c r="Q3" s="2" t="inlineStr">
        <is>
          <t>Média</t>
        </is>
      </c>
      <c r="R3" s="2" t="inlineStr"/>
      <c r="S3" s="2" t="inlineStr"/>
      <c r="T3" s="3">
        <f>IF(AND(M3="Liberado",D3&lt;&gt;"",G3&lt;&gt;"",H3&gt;0),"SIM","NÃO")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3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3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3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3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3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3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3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3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3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3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3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3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3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3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3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3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3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3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3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3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3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3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3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3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3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3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3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3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3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3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3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3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3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3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3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3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3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3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3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3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3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3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3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3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3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3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3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3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3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3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3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3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3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3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3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3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3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3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3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3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3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3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3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3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3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3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3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3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3" t="n"/>
    </row>
  </sheetData>
  <autoFilter ref="A1:T200"/>
  <conditionalFormatting sqref="T2:T200">
    <cfRule type="expression" priority="1" dxfId="0">
      <formula>$T2="SIM"</formula>
    </cfRule>
    <cfRule type="expression" priority="2" dxfId="1">
      <formula>$T2="NÃO"</formula>
    </cfRule>
  </conditionalFormatting>
  <conditionalFormatting sqref="M2:M200">
    <cfRule type="expression" priority="3" dxfId="2">
      <formula>$M2="Bloqueado"</formula>
    </cfRule>
    <cfRule type="expression" priority="4" dxfId="3">
      <formula>$M2="Liberado"</formula>
    </cfRule>
  </conditionalFormatting>
  <dataValidations count="5">
    <dataValidation sqref="E2:E200" showDropDown="0" showInputMessage="0" showErrorMessage="0" allowBlank="1" type="list">
      <formula1>"Arquitetura,Civil,Estrutura,Elétrica,Hidráulica,Incêndio,HVAC,Automação,Paisagismo,Outros"</formula1>
    </dataValidation>
    <dataValidation sqref="F2:F200" showDropDown="0" showInputMessage="0" showErrorMessage="0" allowBlank="1" type="list">
      <formula1>"Material,Serviço,Equipamento,Fornecedor,Documento,Marco,Outro"</formula1>
    </dataValidation>
    <dataValidation sqref="G2:G200" showDropDown="0" showInputMessage="0" showErrorMessage="0" allowBlank="1" type="list">
      <formula1>"un,m,m²,m³,kg,vb,h,dia,cj"</formula1>
    </dataValidation>
    <dataValidation sqref="M2:M200" showDropDown="0" showInputMessage="0" showErrorMessage="0" allowBlank="1" type="list">
      <formula1>"Pendente,Em análise,Bloqueado,Liberado,Cancelado"</formula1>
    </dataValidation>
    <dataValidation sqref="Q2:Q200" showDropDown="0" showInputMessage="0" showErrorMessage="0" allowBlank="1" type="list">
      <formula1>"Crítica,Alta,Média,Baixa"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6" customWidth="1" min="3" max="3"/>
    <col width="34" customWidth="1" min="4" max="4"/>
  </cols>
  <sheetData>
    <row r="1">
      <c r="A1" s="4" t="inlineStr">
        <is>
          <t>Campo</t>
        </is>
      </c>
      <c r="B1" s="4" t="inlineStr">
        <is>
          <t>Obrigatório?</t>
        </is>
      </c>
      <c r="C1" s="4" t="inlineStr">
        <is>
          <t>Regra de preenchimento</t>
        </is>
      </c>
      <c r="D1" s="4" t="inlineStr">
        <is>
          <t>Uso</t>
        </is>
      </c>
    </row>
    <row r="2">
      <c r="A2" s="5" t="inlineStr">
        <is>
          <t>id_item</t>
        </is>
      </c>
      <c r="B2" s="5" t="inlineStr">
        <is>
          <t>Sim</t>
        </is>
      </c>
      <c r="C2" s="5" t="inlineStr">
        <is>
          <t>Código único. Não repetir.</t>
        </is>
      </c>
      <c r="D2" s="5" t="inlineStr">
        <is>
          <t>Chave de importação/controle</t>
        </is>
      </c>
    </row>
    <row r="3">
      <c r="A3" s="5" t="inlineStr">
        <is>
          <t>item_pai</t>
        </is>
      </c>
      <c r="B3" s="5" t="inlineStr">
        <is>
          <t>Não</t>
        </is>
      </c>
      <c r="C3" s="5" t="inlineStr">
        <is>
          <t>Usar id_item do item superior, se houver hierarquia.</t>
        </is>
      </c>
      <c r="D3" s="5" t="inlineStr">
        <is>
          <t>Agrupamento WBS/EAP</t>
        </is>
      </c>
    </row>
    <row r="4">
      <c r="A4" s="5" t="inlineStr">
        <is>
          <t>codigo_origem</t>
        </is>
      </c>
      <c r="B4" s="5" t="inlineStr">
        <is>
          <t>Não</t>
        </is>
      </c>
      <c r="C4" s="5" t="inlineStr">
        <is>
          <t>Código do orçamento, ERP, proposta ou planilha original.</t>
        </is>
      </c>
      <c r="D4" s="5" t="inlineStr">
        <is>
          <t>Rastreabilidade</t>
        </is>
      </c>
    </row>
    <row r="5">
      <c r="A5" s="5" t="inlineStr">
        <is>
          <t>descricao_item</t>
        </is>
      </c>
      <c r="B5" s="5" t="inlineStr">
        <is>
          <t>Sim</t>
        </is>
      </c>
      <c r="C5" s="5" t="inlineStr">
        <is>
          <t>Descrição limpa e objetiva.</t>
        </is>
      </c>
      <c r="D5" s="5" t="inlineStr">
        <is>
          <t>Item que será importado</t>
        </is>
      </c>
    </row>
    <row r="6">
      <c r="A6" s="5" t="inlineStr">
        <is>
          <t>disciplina</t>
        </is>
      </c>
      <c r="B6" s="5" t="inlineStr">
        <is>
          <t>Sim</t>
        </is>
      </c>
      <c r="C6" s="5" t="inlineStr">
        <is>
          <t>Escolher lista padrão.</t>
        </is>
      </c>
      <c r="D6" s="5" t="inlineStr">
        <is>
          <t>Classificação técnica</t>
        </is>
      </c>
    </row>
    <row r="7">
      <c r="A7" s="5" t="inlineStr">
        <is>
          <t>categoria</t>
        </is>
      </c>
      <c r="B7" s="5" t="inlineStr">
        <is>
          <t>Sim</t>
        </is>
      </c>
      <c r="C7" s="5" t="inlineStr">
        <is>
          <t>Material/Serviço/Equipamento/etc.</t>
        </is>
      </c>
      <c r="D7" s="5" t="inlineStr">
        <is>
          <t>Tipo de item</t>
        </is>
      </c>
    </row>
    <row r="8">
      <c r="A8" s="5" t="inlineStr">
        <is>
          <t>unidade</t>
        </is>
      </c>
      <c r="B8" s="5" t="inlineStr">
        <is>
          <t>Sim</t>
        </is>
      </c>
      <c r="C8" s="5" t="inlineStr">
        <is>
          <t>Unidade padronizada.</t>
        </is>
      </c>
      <c r="D8" s="5" t="inlineStr">
        <is>
          <t>Quantitativo</t>
        </is>
      </c>
    </row>
    <row r="9">
      <c r="A9" s="5" t="inlineStr">
        <is>
          <t>quantidade</t>
        </is>
      </c>
      <c r="B9" s="5" t="inlineStr">
        <is>
          <t>Sim</t>
        </is>
      </c>
      <c r="C9" s="5" t="inlineStr">
        <is>
          <t>Número maior que zero.</t>
        </is>
      </c>
      <c r="D9" s="5" t="inlineStr">
        <is>
          <t>Quantitativo</t>
        </is>
      </c>
    </row>
    <row r="10">
      <c r="A10" s="5" t="inlineStr">
        <is>
          <t>preco_unitario</t>
        </is>
      </c>
      <c r="B10" s="5" t="inlineStr">
        <is>
          <t>Não</t>
        </is>
      </c>
      <c r="C10" s="5" t="inlineStr">
        <is>
          <t>Valor unitário, se aplicável.</t>
        </is>
      </c>
      <c r="D10" s="5" t="inlineStr">
        <is>
          <t>Orçamento/contratação</t>
        </is>
      </c>
    </row>
    <row r="11">
      <c r="A11" s="5" t="inlineStr">
        <is>
          <t>valor_total</t>
        </is>
      </c>
      <c r="B11" s="5" t="inlineStr">
        <is>
          <t>Automático</t>
        </is>
      </c>
      <c r="C11" s="5" t="inlineStr">
        <is>
          <t>quantidade × preço_unitario.</t>
        </is>
      </c>
      <c r="D11" s="5" t="inlineStr">
        <is>
          <t>Conferência</t>
        </is>
      </c>
    </row>
    <row r="12">
      <c r="A12" s="5" t="inlineStr">
        <is>
          <t>fornecedor_responsavel</t>
        </is>
      </c>
      <c r="B12" s="5" t="inlineStr">
        <is>
          <t>Não</t>
        </is>
      </c>
      <c r="C12" s="5" t="inlineStr">
        <is>
          <t>Empresa ou pessoa vinculada.</t>
        </is>
      </c>
      <c r="D12" s="5" t="inlineStr">
        <is>
          <t>Execução/compras</t>
        </is>
      </c>
    </row>
    <row r="13">
      <c r="A13" s="5" t="inlineStr">
        <is>
          <t>responsavel_interno</t>
        </is>
      </c>
      <c r="B13" s="5" t="inlineStr">
        <is>
          <t>Sim</t>
        </is>
      </c>
      <c r="C13" s="5" t="inlineStr">
        <is>
          <t>Quem libera/valida internamente.</t>
        </is>
      </c>
      <c r="D13" s="5" t="inlineStr">
        <is>
          <t>Accountability</t>
        </is>
      </c>
    </row>
    <row r="14">
      <c r="A14" s="5" t="inlineStr">
        <is>
          <t>status_liberacao</t>
        </is>
      </c>
      <c r="B14" s="5" t="inlineStr">
        <is>
          <t>Sim</t>
        </is>
      </c>
      <c r="C14" s="5" t="inlineStr">
        <is>
          <t>Liberado apenas quando dados mínimos estiverem corretos.</t>
        </is>
      </c>
      <c r="D14" s="5" t="inlineStr">
        <is>
          <t>Gate de upload</t>
        </is>
      </c>
    </row>
    <row r="15">
      <c r="A15" s="5" t="inlineStr">
        <is>
          <t>bloqueio</t>
        </is>
      </c>
      <c r="B15" s="5" t="inlineStr">
        <is>
          <t>Não</t>
        </is>
      </c>
      <c r="C15" s="5" t="inlineStr">
        <is>
          <t>Motivo do impedimento.</t>
        </is>
      </c>
      <c r="D15" s="5" t="inlineStr">
        <is>
          <t>Destravamento</t>
        </is>
      </c>
    </row>
    <row r="16">
      <c r="A16" s="5" t="inlineStr">
        <is>
          <t>acao_para_liberar</t>
        </is>
      </c>
      <c r="B16" s="5" t="inlineStr">
        <is>
          <t>Não</t>
        </is>
      </c>
      <c r="C16" s="5" t="inlineStr">
        <is>
          <t>Próxima ação concreta.</t>
        </is>
      </c>
      <c r="D16" s="5" t="inlineStr">
        <is>
          <t>Gestão</t>
        </is>
      </c>
    </row>
    <row r="17">
      <c r="A17" s="5" t="inlineStr">
        <is>
          <t>data_limite</t>
        </is>
      </c>
      <c r="B17" s="5" t="inlineStr">
        <is>
          <t>Não</t>
        </is>
      </c>
      <c r="C17" s="5" t="inlineStr">
        <is>
          <t>Prazo de liberação.</t>
        </is>
      </c>
      <c r="D17" s="5" t="inlineStr">
        <is>
          <t>Prioridade</t>
        </is>
      </c>
    </row>
    <row r="18">
      <c r="A18" s="5" t="inlineStr">
        <is>
          <t>prioridade</t>
        </is>
      </c>
      <c r="B18" s="5" t="inlineStr">
        <is>
          <t>Sim</t>
        </is>
      </c>
      <c r="C18" s="5" t="inlineStr">
        <is>
          <t>Crítica/Alta/Média/Baixa.</t>
        </is>
      </c>
      <c r="D18" s="5" t="inlineStr">
        <is>
          <t>Fila de execução</t>
        </is>
      </c>
    </row>
    <row r="19">
      <c r="A19" s="5" t="inlineStr">
        <is>
          <t>documento_referencia</t>
        </is>
      </c>
      <c r="B19" s="5" t="inlineStr">
        <is>
          <t>Não</t>
        </is>
      </c>
      <c r="C19" s="5" t="inlineStr">
        <is>
          <t>Nome/link/código do documento base.</t>
        </is>
      </c>
      <c r="D19" s="5" t="inlineStr">
        <is>
          <t>Auditoria</t>
        </is>
      </c>
    </row>
    <row r="20">
      <c r="A20" s="5" t="inlineStr">
        <is>
          <t>observacao</t>
        </is>
      </c>
      <c r="B20" s="5" t="inlineStr">
        <is>
          <t>Não</t>
        </is>
      </c>
      <c r="C20" s="5" t="inlineStr">
        <is>
          <t>Notas relevantes.</t>
        </is>
      </c>
      <c r="D20" s="5" t="inlineStr">
        <is>
          <t>Contexto</t>
        </is>
      </c>
    </row>
    <row r="21">
      <c r="A21" s="5" t="inlineStr">
        <is>
          <t>apto_upload</t>
        </is>
      </c>
      <c r="B21" s="5" t="inlineStr">
        <is>
          <t>Automático</t>
        </is>
      </c>
      <c r="C21" s="5" t="inlineStr">
        <is>
          <t>SIM quando status=Liberado + campos mínimos válidos.</t>
        </is>
      </c>
      <c r="D21" s="5" t="inlineStr">
        <is>
          <t>Liberação de subir pelo 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Resumo de Liberação para Upload via Excel</t>
        </is>
      </c>
    </row>
    <row r="3">
      <c r="A3" s="7" t="inlineStr">
        <is>
          <t>Total de itens</t>
        </is>
      </c>
      <c r="B3">
        <f>COUNTA('Mapa Upload'!A2:A200)</f>
        <v/>
      </c>
    </row>
    <row r="4">
      <c r="A4" s="7" t="inlineStr">
        <is>
          <t>Itens liberados</t>
        </is>
      </c>
      <c r="B4">
        <f>COUNTIF('Mapa Upload'!M2:M200,"Liberado")</f>
        <v/>
      </c>
    </row>
    <row r="5">
      <c r="A5" s="7" t="inlineStr">
        <is>
          <t>Aptos para upload</t>
        </is>
      </c>
      <c r="B5">
        <f>COUNTIF('Mapa Upload'!T2:T200,"SIM")</f>
        <v/>
      </c>
    </row>
    <row r="6">
      <c r="A6" s="7" t="inlineStr">
        <is>
          <t>Bloqueados</t>
        </is>
      </c>
      <c r="B6">
        <f>COUNTIF('Mapa Upload'!M2:M200,"Bloqueado")</f>
        <v/>
      </c>
    </row>
    <row r="7">
      <c r="A7" s="7" t="inlineStr">
        <is>
          <t>Pendentes</t>
        </is>
      </c>
      <c r="B7">
        <f>COUNTIF('Mapa Upload'!M2:M200,"Pendente")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2026-04-28T00:13:18Z</dcterms:created>
  <dcterms:modified xmlns:dcterms="http://purl.org/dc/terms/" xmlns:xsi="http://www.w3.org/2001/XMLSchema-instance" xsi:type="dcterms:W3CDTF">2026-04-28T00:13:18Z</dcterms:modified>
</cp:coreProperties>
</file>